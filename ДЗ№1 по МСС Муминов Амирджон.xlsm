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FE65EC4-95A2-46F9-995B-2BA7AC0BCD62}" xr6:coauthVersionLast="46" xr6:coauthVersionMax="46" xr10:uidLastSave="{00000000-0000-0000-0000-000000000000}"/>
  <bookViews>
    <workbookView xWindow="-120" yWindow="-120" windowWidth="20730" windowHeight="11160" xr2:uid="{F50F366D-854D-4C21-85CB-1A7D3ADE2941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6" i="1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C5" i="1"/>
  <c r="AJ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15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<sst xmlns="http://schemas.openxmlformats.org/spreadsheetml/2006/main" count="13" uniqueCount="12">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</sst>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1" fillId="0" borderId="1" xfId="0" applyNumberFormat="1" applyFont="1" applyBorder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166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3132804343738"/>
          <c:y val="0.1258938501297662"/>
          <c:w val="0.7970662043951815"/>
          <c:h val="0.7726618402915390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117.01514106824395</c:v>
                </c:pt>
                <c:pt idx="1">
                  <c:v>116.34847440157728</c:v>
                </c:pt>
                <c:pt idx="2">
                  <c:v>115.69026863474282</c:v>
                </c:pt>
                <c:pt idx="3">
                  <c:v>115.04049981273728</c:v>
                </c:pt>
                <c:pt idx="4">
                  <c:v>114.39911998043209</c:v>
                </c:pt>
                <c:pt idx="5">
                  <c:v>113.76605754327687</c:v>
                </c:pt>
                <c:pt idx="6">
                  <c:v>113.14121713627486</c:v>
                </c:pt>
                <c:pt idx="7">
                  <c:v>112.52448033368617</c:v>
                </c:pt>
                <c:pt idx="8">
                  <c:v>111.91570544490222</c:v>
                </c:pt>
                <c:pt idx="9">
                  <c:v>111.31472855021838</c:v>
                </c:pt>
                <c:pt idx="10">
                  <c:v>110.72136324421298</c:v>
                </c:pt>
                <c:pt idx="11">
                  <c:v>110.13540196436466</c:v>
                </c:pt>
                <c:pt idx="12">
                  <c:v>109.55661570928514</c:v>
                </c:pt>
                <c:pt idx="13">
                  <c:v>108.98475561801021</c:v>
                </c:pt>
                <c:pt idx="14">
                  <c:v>108.41955269576472</c:v>
                </c:pt>
                <c:pt idx="15">
                  <c:v>107.86071959451279</c:v>
                </c:pt>
                <c:pt idx="16">
                  <c:v>107.30795038255982</c:v>
                </c:pt>
                <c:pt idx="17">
                  <c:v>106.76092247168897</c:v>
                </c:pt>
                <c:pt idx="18">
                  <c:v>106.21929646861958</c:v>
                </c:pt>
                <c:pt idx="19">
                  <c:v>105.68271819097659</c:v>
                </c:pt>
                <c:pt idx="20">
                  <c:v>105.15081863830865</c:v>
                </c:pt>
                <c:pt idx="21">
                  <c:v>104.62321603833465</c:v>
                </c:pt>
                <c:pt idx="22">
                  <c:v>104.09951597285318</c:v>
                </c:pt>
                <c:pt idx="23">
                  <c:v>103.57931339718533</c:v>
                </c:pt>
                <c:pt idx="24">
                  <c:v>103.06219295195382</c:v>
                </c:pt>
                <c:pt idx="25">
                  <c:v>102.54773090229433</c:v>
                </c:pt>
                <c:pt idx="26">
                  <c:v>102.03549566031381</c:v>
                </c:pt>
                <c:pt idx="27">
                  <c:v>101.5250495962821</c:v>
                </c:pt>
                <c:pt idx="28">
                  <c:v>101.01594978884752</c:v>
                </c:pt>
                <c:pt idx="29">
                  <c:v>100.50774966776837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B-41FC-85D4-AB60529D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61360"/>
        <c:axId val="454962344"/>
      </c:scatterChart>
      <c:valAx>
        <c:axId val="4549613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962344"/>
        <c:crosses val="autoZero"/>
        <c:crossBetween val="midCat"/>
      </c:valAx>
      <c:valAx>
        <c:axId val="454962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496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81643</xdr:colOff>
      <xdr:row>20</xdr:row>
      <xdr:rowOff>163285</xdr:rowOff>
    </xdr:from>
    <xdr:to>
      <xdr:col>15</xdr:col>
      <xdr:colOff>353787</xdr:colOff>
      <xdr:row>42</xdr:row>
      <xdr:rowOff>163284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8710981A-DD1A-484A-9A18-7273F00EA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27214</xdr:colOff>
      <xdr:row>36</xdr:row>
      <xdr:rowOff>136070</xdr:rowOff>
    </xdr:from>
    <xdr:ext cx="680358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7FF0823-C1CC-4497-88A3-5DED01F964F2}"/>
                </a:ext>
              </a:extLst>
            </xdr:cNvPr>
            <xdr:cNvSpPr txBox="1"/>
          </xdr:nvSpPr>
          <xdr:spPr>
            <a:xfrm>
              <a:off x="7443107" y="6994070"/>
              <a:ext cx="680358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14:m>
                <m:oMath xmlns:m="http://schemas.openxmlformats.org/officeDocument/2006/math">
                  <m:r>
                    <a:rPr lang="en-US" sz="1600" b="1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 [</m:t>
                  </m:r>
                  <m:r>
                    <a:rPr lang="en-US" sz="1600" b="1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𝐦</m:t>
                  </m:r>
                </m:oMath>
              </a14:m>
              <a:r>
                <a:rPr lang="en-US" sz="16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2400">
                <a:effectLst/>
              </a:endParaRPr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7FF0823-C1CC-4497-88A3-5DED01F964F2}"/>
                </a:ext>
              </a:extLst>
            </xdr:cNvPr>
            <xdr:cNvSpPr txBox="1"/>
          </xdr:nvSpPr>
          <xdr:spPr>
            <a:xfrm>
              <a:off x="7443107" y="6994070"/>
              <a:ext cx="680358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L, [</a:t>
              </a:r>
              <a:r>
                <a:rPr lang="en-U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𝐦</a:t>
              </a:r>
              <a:r>
                <a:rPr lang="en-US" sz="16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2400">
                <a:effectLst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0.01765</cdr:x>
      <cdr:y>0</cdr:y>
    </cdr:from>
    <cdr:to>
      <cdr:x>0.15469</cdr:x>
      <cdr:y>0.10183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F8B5F314-A340-43B5-A524-D7EFD53BF5F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1643" y="0"/>
          <a:ext cx="634039" cy="42675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5D1C9-C5D2-484C-BD17-8EDC2FC18B0E}">
  <sheetPr codeName="Лист1"/>
  <dimension ref="A3:AJ16"/>
  <sheetViews>
    <sheetView tabSelected="1" zoomScale="70" zoomScaleNormal="70" workbookViewId="0">
      <selection activeCell="G19" sqref="G19"/>
    </sheetView>
  </sheetViews>
  <sheetFormatPr defaultRowHeight="15" x14ac:dyDescent="0.25"/>
  <cols>
    <col min="6" max="6" width="6.5703125" bestFit="1" customWidth="1"/>
    <col min="7" max="7" width="10.140625" bestFit="1" customWidth="1"/>
    <col min="8" max="36" width="6.5703125" bestFit="1" customWidth="1"/>
  </cols>
  <sheetData>
    <row r="3" spans="1:36" x14ac:dyDescent="0.25">
      <c r="B3" s="2" t="s">
        <v>0</v>
      </c>
      <c r="C3" s="2">
        <v>0.1</v>
      </c>
    </row>
    <row r="4" spans="1:36" x14ac:dyDescent="0.25">
      <c r="B4" s="2" t="s">
        <v>1</v>
      </c>
      <c r="C4" s="6">
        <f>C3/30</f>
        <v>3.3333333333333335E-3</v>
      </c>
    </row>
    <row r="5" spans="1:36" x14ac:dyDescent="0.25">
      <c r="B5" s="2" t="s">
        <v>2</v>
      </c>
      <c r="C5" s="6">
        <f>(C9*C8*C4^2)/(2*C10)</f>
        <v>0.4333333333333334</v>
      </c>
    </row>
    <row r="6" spans="1:36" x14ac:dyDescent="0.25">
      <c r="B6" s="2" t="s">
        <v>3</v>
      </c>
      <c r="C6" s="2">
        <v>5000</v>
      </c>
      <c r="D6">
        <v>0.4333333333333334</v>
      </c>
    </row>
    <row r="7" spans="1:36" x14ac:dyDescent="0.25">
      <c r="A7" s="5"/>
      <c r="B7" s="5"/>
      <c r="C7" s="5"/>
      <c r="D7" s="5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10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I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>AI12+$C$4</f>
        <v>9.9999999999999936E-2</v>
      </c>
    </row>
    <row r="13" spans="1:36" x14ac:dyDescent="0.25">
      <c r="B13" s="2" t="s">
        <v>8</v>
      </c>
      <c r="C13" s="2">
        <v>100</v>
      </c>
      <c r="E13" t="s">
        <v>7</v>
      </c>
      <c r="F13" s="1">
        <f>(F16/C10)*C4+G13</f>
        <v>117.01514106824395</v>
      </c>
      <c r="G13" s="1">
        <v>116.34847440157728</v>
      </c>
      <c r="H13" s="1">
        <v>115.69026863474282</v>
      </c>
      <c r="I13" s="1">
        <v>115.04049981273728</v>
      </c>
      <c r="J13" s="1">
        <v>114.39911998043209</v>
      </c>
      <c r="K13" s="1">
        <v>113.76605754327687</v>
      </c>
      <c r="L13" s="1">
        <v>113.14121713627486</v>
      </c>
      <c r="M13" s="1">
        <v>112.52448033368617</v>
      </c>
      <c r="N13" s="1">
        <v>111.91570544490222</v>
      </c>
      <c r="O13" s="1">
        <v>111.31472855021838</v>
      </c>
      <c r="P13" s="1">
        <v>110.72136324421298</v>
      </c>
      <c r="Q13" s="1">
        <v>110.13540196436466</v>
      </c>
      <c r="R13" s="1">
        <v>109.55661570928514</v>
      </c>
      <c r="S13" s="1">
        <v>108.98475561801021</v>
      </c>
      <c r="T13" s="1">
        <v>108.41955269576472</v>
      </c>
      <c r="U13" s="1">
        <v>107.86071959451279</v>
      </c>
      <c r="V13" s="1">
        <v>107.30795038255982</v>
      </c>
      <c r="W13" s="1">
        <v>106.76092247168897</v>
      </c>
      <c r="X13" s="1">
        <v>106.21929646861958</v>
      </c>
      <c r="Y13" s="1">
        <v>105.68271819097659</v>
      </c>
      <c r="Z13" s="1">
        <v>105.15081863830865</v>
      </c>
      <c r="AA13" s="1">
        <v>104.62321603833465</v>
      </c>
      <c r="AB13" s="1">
        <v>104.09951597285318</v>
      </c>
      <c r="AC13" s="1">
        <v>103.57931339718533</v>
      </c>
      <c r="AD13" s="1">
        <v>103.06219295195382</v>
      </c>
      <c r="AE13" s="1">
        <v>102.54773090229433</v>
      </c>
      <c r="AF13" s="1">
        <v>102.03549566031381</v>
      </c>
      <c r="AG13" s="1">
        <v>101.5250495962821</v>
      </c>
      <c r="AH13" s="1">
        <v>101.01594978884752</v>
      </c>
      <c r="AI13" s="1">
        <v>100.50774966776837</v>
      </c>
      <c r="AJ13" s="1">
        <f>C13</f>
        <v>100</v>
      </c>
    </row>
    <row r="15" spans="1:36" x14ac:dyDescent="0.25">
      <c r="E15" t="s">
        <v>9</v>
      </c>
      <c r="G15" s="1">
        <f>G13+(($C$10*$C$5)/($C$9*$C$8))*((H13-2*G13+F13)/($C$4^2))</f>
        <v>116.35270485149339</v>
      </c>
      <c r="H15" s="1">
        <f t="shared" ref="H15:AI15" si="1">H13+(($C$10*$C$5)/($C$9*$C$8))*((I13-2*H13+G13)/($C$4^2))</f>
        <v>115.69448710715727</v>
      </c>
      <c r="I15" s="1">
        <f t="shared" si="1"/>
        <v>115.04469430758746</v>
      </c>
      <c r="J15" s="1">
        <f t="shared" si="1"/>
        <v>114.40327867800707</v>
      </c>
      <c r="K15" s="1">
        <f t="shared" si="1"/>
        <v>113.77016855835348</v>
      </c>
      <c r="L15" s="1">
        <f t="shared" si="1"/>
        <v>113.14526893848152</v>
      </c>
      <c r="M15" s="1">
        <f t="shared" si="1"/>
        <v>112.52846129058854</v>
      </c>
      <c r="N15" s="1">
        <f t="shared" si="1"/>
        <v>111.91960444195227</v>
      </c>
      <c r="O15" s="1">
        <f t="shared" si="1"/>
        <v>111.31853434455761</v>
      </c>
      <c r="P15" s="1">
        <f t="shared" si="1"/>
        <v>110.72506525729152</v>
      </c>
      <c r="Q15" s="1">
        <f t="shared" si="1"/>
        <v>110.13898947674906</v>
      </c>
      <c r="R15" s="1">
        <f t="shared" si="1"/>
        <v>109.56007879118744</v>
      </c>
      <c r="S15" s="1">
        <f t="shared" si="1"/>
        <v>108.98808420252493</v>
      </c>
      <c r="T15" s="1">
        <f t="shared" si="1"/>
        <v>108.42273760626151</v>
      </c>
      <c r="U15" s="1">
        <f t="shared" si="1"/>
        <v>107.86375153916228</v>
      </c>
      <c r="V15" s="1">
        <f t="shared" si="1"/>
        <v>107.31082103310088</v>
      </c>
      <c r="W15" s="1">
        <f t="shared" si="1"/>
        <v>106.7636234255897</v>
      </c>
      <c r="X15" s="1">
        <f t="shared" si="1"/>
        <v>106.22182033133278</v>
      </c>
      <c r="Y15" s="1">
        <f t="shared" si="1"/>
        <v>105.68505755346411</v>
      </c>
      <c r="Z15" s="1">
        <f t="shared" si="1"/>
        <v>105.15296711465561</v>
      </c>
      <c r="AA15" s="1">
        <f t="shared" si="1"/>
        <v>104.62516730558092</v>
      </c>
      <c r="AB15" s="1">
        <f t="shared" si="1"/>
        <v>104.10126471775999</v>
      </c>
      <c r="AC15" s="1">
        <f t="shared" si="1"/>
        <v>103.58085446240349</v>
      </c>
      <c r="AD15" s="1">
        <f t="shared" si="1"/>
        <v>103.06352214973984</v>
      </c>
      <c r="AE15" s="1">
        <f t="shared" si="1"/>
        <v>102.54884430613382</v>
      </c>
      <c r="AF15" s="1">
        <f t="shared" si="1"/>
        <v>102.03639024928822</v>
      </c>
      <c r="AG15" s="1">
        <f t="shared" si="1"/>
        <v>101.52572272458067</v>
      </c>
      <c r="AH15" s="1">
        <f t="shared" si="1"/>
        <v>101.01639963202524</v>
      </c>
      <c r="AI15" s="1">
        <f t="shared" si="1"/>
        <v>100.50797489442377</v>
      </c>
    </row>
    <row r="16" spans="1:36" x14ac:dyDescent="0.25">
      <c r="E16" s="1" t="s">
        <v>11</v>
      </c>
      <c r="F16">
        <v>9200</v>
      </c>
      <c r="G16" s="1">
        <f>$C$10*((-G13+F13)/$C$4)</f>
        <v>9200.0000000000655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2021-03-20T17:28:22Z</dcterms:created>
  <dcterms:modified xsi:type="dcterms:W3CDTF">2021-03-20T19:55:26Z</dcterms:modified>
</cp:coreProperties>
</file>